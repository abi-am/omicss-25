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akob\ABI_2024\omicss26\Group projects\GP1\01_data-processing\"/>
    </mc:Choice>
  </mc:AlternateContent>
  <xr:revisionPtr revIDLastSave="0" documentId="13_ncr:1_{CEF925AD-E884-4F63-9CE9-9921CC843C8E}" xr6:coauthVersionLast="47" xr6:coauthVersionMax="47" xr10:uidLastSave="{00000000-0000-0000-0000-000000000000}"/>
  <bookViews>
    <workbookView xWindow="-21690" yWindow="-26310" windowWidth="21780" windowHeight="19290" xr2:uid="{00000000-000D-0000-FFFF-FFFF00000000}"/>
  </bookViews>
  <sheets>
    <sheet name="Datasets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1" l="1"/>
  <c r="E7" i="1"/>
  <c r="D7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Davit_H</author>
  </authors>
  <commentList>
    <comment ref="C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Unique healthy subjects after collapsing technical/biological replicates (one run per subject, preferring max Bases). See Notes sheet.</t>
        </r>
      </text>
    </comment>
    <comment ref="D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Female:Male counts among the deduplicated healthy samples.</t>
        </r>
      </text>
    </comment>
    <comment ref="E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Estimated download size in GB = sum of NCBI 'Bytes' for the selected runs (DATASTORE lists fastq). Not the full unreplicated run table.</t>
        </r>
      </text>
    </comment>
    <comment ref="B2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Source: SraRunTable_1.xlsx | BioProject PRJEB60621 (TOM / INRA). 990 saliva WGS runs → 100 unique Sample_name (TOM_###), ~10 replicates each; kept max-Bases run per subject. Gender 50F/50M. Ion Torrent SINGLE.</t>
        </r>
      </text>
    </comment>
    <comment ref="B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Source: SraRunTable_B2.xlsx | BioProject PRJNA1248596 / dbGaP phs004018. 458 buccal/inner-oral controls (subject_is_affected=No); 1 run/subject. 112F/346M (skewed). DATASTORE on ncbi.dbgap — likely controlled access, not open SRA.</t>
        </r>
      </text>
    </comment>
    <comment ref="B4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Source: SraRunTable_B1.csv | BioProject PRJNA1242418 / dbGaP phs003994. NCI Oral Mycobiome &amp; Pancreatic Cancer controls (subject_is_affected=No); buccal; LibrarySource=GENOMIC. 445 unique subjects/runs (no replicates). sex 208F/237M. size_est≈122.4 GB. Compared to B2: no shared BioSample/Run/Bytes/Bases; only 1 shared submitted_subject_id (D-027488-7).</t>
        </r>
      </text>
    </comment>
    <comment ref="B5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Source: SraRunTable_4.xlsx | BioProject PRJNA1057503. 1832 multi-site runs; healthy saliva = site Saliva AND Host_disease blank → 64 subjects (1 run each). 36F/28M. NovaSeq PE; large per-sample files. Full table saliva (incl. diseased) would be 391 / ~758 GB — not used here.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<sst xmlns="http://schemas.openxmlformats.org/spreadsheetml/2006/main" count="49" uniqueCount="41">
  <si>
    <t>Include</t>
  </si>
  <si>
    <t>dataset_name</t>
  </si>
  <si>
    <t>number of healthy samples</t>
  </si>
  <si>
    <t>fm_ratio</t>
  </si>
  <si>
    <t>size_est</t>
  </si>
  <si>
    <t>50:50</t>
  </si>
  <si>
    <t>36:28</t>
  </si>
  <si>
    <t>112:346</t>
  </si>
  <si>
    <t>208:237</t>
  </si>
  <si>
    <t>Field</t>
  </si>
  <si>
    <t>Definition / method</t>
  </si>
  <si>
    <t>Row order</t>
  </si>
  <si>
    <t>Row2=SraRunTable_1, Row3=SraRunTable_2, Row4=SraRunTable_4, Row5=SraRunTable_B2, Row6=SraRunTable_B1. SraRunTable_G1 ignored as requested.</t>
  </si>
  <si>
    <t>Left blank for final Yes/No decision (dropdown available).</t>
  </si>
  <si>
    <t>Left blank for you to fill abbreviations.</t>
  </si>
  <si>
    <t>Count of unique healthy subjects after collapsing replicates (one sequencing run kept per subject).</t>
  </si>
  <si>
    <t>Female:Male among those unique healthy subjects.</t>
  </si>
  <si>
    <t>GB; sum of NCBI Run Table 'Bytes' for the kept runs only (fastq present in DATASTORE filetype).</t>
  </si>
  <si>
    <t>Dataset detail</t>
  </si>
  <si>
    <t>SraRunTable_1 / PRJEB60621</t>
  </si>
  <si>
    <t>Healthy saliva WGS (host_body_product=saliva). Patient ID = Sample_name (TOM_###). 990 runs / 100 subjects; kept run with max Bases. Perfect 50:50. size_est≈5.42 GB (selected); all replicates would be ~32 GB.</t>
  </si>
  <si>
    <t>Multi-body-site cohort. Healthy saliva defined as Sample Name ending in _Saliva AND Host_disease missing (no disease annotation). 64 subjects, no saliva replicates. 36:28. size_est≈114.88 GB. Caution: deep NovaSeq libraries (~1.8 GB/sample compressed).</t>
  </si>
  <si>
    <t>SraRunTable_B2 / PRJNA1248596</t>
  </si>
  <si>
    <t>Excluded</t>
  </si>
  <si>
    <t>SraRunTable_G1.xlsx per instructions.</t>
  </si>
  <si>
    <t>SraRunTable_B1 / PRJNA1242418</t>
  </si>
  <si>
    <t>phs003994 — Oral Mycobiome and Risk of Pancreatic Cancer. All 445 are subject_is_affected=No (controls), buccal, 1 run/subject. 208:237. size_est≈122.4 GB. No sequencing-file overlap with B2 (0 shared BioSample/Run/Bytes/Bases); 1 shared patient ID D-027488-7 with different runs.</t>
  </si>
  <si>
    <t>J001</t>
  </si>
  <si>
    <t>J002</t>
  </si>
  <si>
    <t>D001</t>
  </si>
  <si>
    <t>J003</t>
  </si>
  <si>
    <t>S014</t>
  </si>
  <si>
    <t>105:129</t>
  </si>
  <si>
    <t>quick_facts</t>
  </si>
  <si>
    <t>oral_wash samples</t>
  </si>
  <si>
    <r>
      <t xml:space="preserve">stimulated mouthwash, controls were matched </t>
    </r>
    <r>
      <rPr>
        <u/>
        <sz val="11"/>
        <color theme="1"/>
        <rFont val="Calibri"/>
        <family val="2"/>
        <scheme val="minor"/>
      </rPr>
      <t>by non-related disease too (SEE NOTES)</t>
    </r>
  </si>
  <si>
    <t>D001 / PRJNA1057503</t>
  </si>
  <si>
    <t>234 samples, The controls were selected from noncancer JP subjects by matching for possible confounders and risk factors4 such as age, sex, body mass index, lifestyle-related factors, dietary habits, dental/oral problems, comorbidities, bowel diseases, Bristol stool scale, and medications</t>
  </si>
  <si>
    <t>All 458 marked subject_is_affected=No (HNSCC case-control controls); stimulated oral washm body_site=inner oral cavity / buccal cells. 112:346 (far from 1:1). size_est≈499.66 GB. dbGaP phs004018 — check access before assigning to students.</t>
  </si>
  <si>
    <t>S014 / PRJNA832909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</si>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</sst>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2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0" borderId="0" xfId="0" applyFont="1"/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46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zoomScale="124" workbookViewId="0">
      <selection activeCell="F1" sqref="F1"/>
    </sheetView>
  </sheetViews>
  <sheetFormatPr defaultRowHeight="14.5" x14ac:dyDescent="0.35"/>
  <cols>
    <col min="1" max="1" width="10" customWidth="1"/>
    <col min="2" max="2" width="16" customWidth="1"/>
    <col min="3" max="3" width="26" customWidth="1"/>
    <col min="4" max="5" width="12" customWidth="1"/>
  </cols>
  <sheetData>
    <row r="1" spans="1:6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8" t="s">
        <v>33</v>
      </c>
    </row>
    <row r="2" spans="1:6" x14ac:dyDescent="0.35">
      <c r="A2" s="2" t="s">
        <v>40</v>
      </c>
      <c r="B2" s="2" t="s">
        <v>27</v>
      </c>
      <c r="C2" s="2">
        <v>100</v>
      </c>
      <c r="D2" s="9" t="s">
        <v>5</v>
      </c>
      <c r="E2" s="3">
        <v>5.42</v>
      </c>
    </row>
    <row r="3" spans="1:6" x14ac:dyDescent="0.35">
      <c r="A3" s="2"/>
      <c r="B3" s="2" t="s">
        <v>28</v>
      </c>
      <c r="C3" s="2">
        <v>458</v>
      </c>
      <c r="D3" s="2" t="s">
        <v>7</v>
      </c>
      <c r="E3" s="3">
        <v>499.66</v>
      </c>
      <c r="F3" t="s">
        <v>34</v>
      </c>
    </row>
    <row r="4" spans="1:6" x14ac:dyDescent="0.35">
      <c r="A4" s="2"/>
      <c r="B4" s="2" t="s">
        <v>30</v>
      </c>
      <c r="C4" s="2">
        <v>445</v>
      </c>
      <c r="D4" s="2" t="s">
        <v>8</v>
      </c>
      <c r="E4" s="3">
        <v>122.4</v>
      </c>
      <c r="F4" t="s">
        <v>34</v>
      </c>
    </row>
    <row r="5" spans="1:6" x14ac:dyDescent="0.35">
      <c r="A5" s="2" t="s">
        <v>40</v>
      </c>
      <c r="B5" s="2" t="s">
        <v>29</v>
      </c>
      <c r="C5" s="2">
        <v>64</v>
      </c>
      <c r="D5" s="2" t="s">
        <v>6</v>
      </c>
      <c r="E5" s="3"/>
    </row>
    <row r="6" spans="1:6" x14ac:dyDescent="0.35">
      <c r="A6" s="2" t="s">
        <v>40</v>
      </c>
      <c r="B6" s="2" t="s">
        <v>31</v>
      </c>
      <c r="C6" s="2">
        <v>234</v>
      </c>
      <c r="D6" s="7" t="s">
        <v>32</v>
      </c>
      <c r="E6" s="3"/>
      <c r="F6" t="s">
        <v>35</v>
      </c>
    </row>
    <row r="7" spans="1:6" x14ac:dyDescent="0.35">
      <c r="A7" s="5"/>
      <c r="B7" s="5"/>
      <c r="C7" s="5">
        <f>SUM(C2,C3,C4,C5,C6)</f>
        <v>1301</v>
      </c>
      <c r="D7" t="str" cm="1">
        <f t="array" ref="D7">SUMPRODUCT(--LEFT(D2:D6,FIND(":",D2:D6)-1))&amp;":"&amp;SUMPRODUCT(--MID(D2:D6,FIND(":",D2:D6)+1,99))</f>
        <v>511:790</v>
      </c>
      <c r="E7" s="6">
        <f>SUM(E2:E6)</f>
        <v>627.48</v>
      </c>
    </row>
  </sheetData>
  <dataValidations count="1">
    <dataValidation type="list" allowBlank="1" sqref="A2:A7" xr:uid="{00000000-0002-0000-0000-000000000000}">
      <formula1>"Yes,No"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topLeftCell="A4" workbookViewId="0">
      <selection activeCell="A11" sqref="A11:XFD11"/>
    </sheetView>
  </sheetViews>
  <sheetFormatPr defaultRowHeight="14.5" x14ac:dyDescent="0.35"/>
  <cols>
    <col min="1" max="1" width="36" customWidth="1"/>
    <col min="2" max="2" width="110" customWidth="1"/>
  </cols>
  <sheetData>
    <row r="1" spans="1:2" ht="20" customHeight="1" x14ac:dyDescent="0.35">
      <c r="A1" s="4" t="s">
        <v>9</v>
      </c>
      <c r="B1" s="4" t="s">
        <v>10</v>
      </c>
    </row>
    <row r="2" spans="1:2" x14ac:dyDescent="0.35">
      <c r="A2" t="s">
        <v>11</v>
      </c>
      <c r="B2" t="s">
        <v>12</v>
      </c>
    </row>
    <row r="3" spans="1:2" x14ac:dyDescent="0.35">
      <c r="A3" t="s">
        <v>0</v>
      </c>
      <c r="B3" t="s">
        <v>13</v>
      </c>
    </row>
    <row r="4" spans="1:2" x14ac:dyDescent="0.35">
      <c r="A4" t="s">
        <v>1</v>
      </c>
      <c r="B4" t="s">
        <v>14</v>
      </c>
    </row>
    <row r="5" spans="1:2" x14ac:dyDescent="0.35">
      <c r="A5" t="s">
        <v>2</v>
      </c>
      <c r="B5" t="s">
        <v>15</v>
      </c>
    </row>
    <row r="6" spans="1:2" x14ac:dyDescent="0.35">
      <c r="A6" t="s">
        <v>3</v>
      </c>
      <c r="B6" t="s">
        <v>16</v>
      </c>
    </row>
    <row r="7" spans="1:2" x14ac:dyDescent="0.35">
      <c r="A7" t="s">
        <v>4</v>
      </c>
      <c r="B7" t="s">
        <v>17</v>
      </c>
    </row>
    <row r="9" spans="1:2" x14ac:dyDescent="0.35">
      <c r="A9" s="4" t="s">
        <v>18</v>
      </c>
      <c r="B9" s="4"/>
    </row>
    <row r="10" spans="1:2" x14ac:dyDescent="0.35">
      <c r="A10" t="s">
        <v>19</v>
      </c>
      <c r="B10" t="s">
        <v>20</v>
      </c>
    </row>
    <row r="11" spans="1:2" x14ac:dyDescent="0.35">
      <c r="A11" t="s">
        <v>22</v>
      </c>
      <c r="B11" t="s">
        <v>38</v>
      </c>
    </row>
    <row r="12" spans="1:2" x14ac:dyDescent="0.35">
      <c r="A12" t="s">
        <v>25</v>
      </c>
      <c r="B12" t="s">
        <v>26</v>
      </c>
    </row>
    <row r="13" spans="1:2" x14ac:dyDescent="0.35">
      <c r="A13" t="s">
        <v>36</v>
      </c>
      <c r="B13" t="s">
        <v>21</v>
      </c>
    </row>
    <row r="14" spans="1:2" x14ac:dyDescent="0.35">
      <c r="A14" t="s">
        <v>39</v>
      </c>
      <c r="B14" t="s">
        <v>37</v>
      </c>
    </row>
    <row r="16" spans="1:2" x14ac:dyDescent="0.35">
      <c r="A16" t="s">
        <v>23</v>
      </c>
      <c r="B16" t="s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Davit Hakobyan</cp:lastModifiedBy>
  <dcterms:created xsi:type="dcterms:W3CDTF">2026-07-16T10:48:12Z</dcterms:created>
  <dcterms:modified xsi:type="dcterms:W3CDTF">2026-07-16T15:10:26Z</dcterms:modified>
</cp:coreProperties>
</file>