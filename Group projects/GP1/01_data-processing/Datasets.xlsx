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690" yWindow="-26310" windowWidth="21780" windowHeight="19290" tabRatio="600" firstSheet="0" activeTab="0" autoFilterDateGrouping="1"/>
  </bookViews>
  <sheets>
    <sheet name="Datasets" sheetId="1" state="visible" r:id="rId1"/>
    <sheet name="Not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D9E2F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46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Davit_H</author>
  </authors>
  <commentList>
    <comment ref="C1" authorId="0" shapeId="0">
      <text>
        <t>Unique healthy subjects after collapsing technical/biological replicates (one run per subject, preferring max Bases). See Notes sheet.</t>
      </text>
    </comment>
    <comment ref="D1" authorId="0" shapeId="0">
      <text>
        <t>Female:Male counts among the deduplicated healthy samples.</t>
      </text>
    </comment>
    <comment ref="E1" authorId="0" shapeId="0">
      <text>
        <t>Estimated download size in GB = sum of NCBI 'Bytes' for the selected runs (DATASTORE lists fastq). Not the full unreplicated run table.</t>
      </text>
    </comment>
    <comment ref="B2" authorId="0" shapeId="0">
      <text>
        <t>Source: SraRunTable_1.xlsx | BioProject PRJEB60621 (TOM / INRA). 990 saliva WGS runs → 100 unique Sample_name (TOM_###), ~10 replicates each; kept max-Bases run per subject. Gender 50F/50M. Ion Torrent SINGLE.</t>
      </text>
    </comment>
    <comment ref="B3" authorId="0" shapeId="0">
      <text>
        <t>Source: SraRunTable_B2.xlsx | BioProject PRJNA1248596 / dbGaP phs004018. 458 buccal/inner-oral controls (subject_is_affected=No); 1 run/subject. 112F/346M (skewed). DATASTORE on ncbi.dbgap — likely controlled access, not open SRA.</t>
      </text>
    </comment>
    <comment ref="B4" authorId="0" shapeId="0">
      <text>
        <t>Source: SraRunTable_B1.csv | BioProject PRJNA1242418 / dbGaP phs003994. NCI Oral Mycobiome &amp; Pancreatic Cancer controls (subject_is_affected=No); buccal; LibrarySource=GENOMIC. 445 unique subjects/runs (no replicates). sex 208F/237M. size_est≈122.4 GB. Compared to B2: no shared BioSample/Run/Bytes/Bases; only 1 shared submitted_subject_id (D-027488-7).</t>
      </text>
    </comment>
    <comment ref="B5" authorId="0" shapeId="0">
      <text>
        <t>Source: SraRunTable_4.xlsx | BioProject PRJNA1057503. 1832 multi-site runs; healthy saliva = site Saliva AND Host_disease blank → 64 subjects (1 run each). 36F/28M. NovaSeq PE; large per-sample files. Full table saliva (incl. diseased) would be 391 / ~758 GB — not used here.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zoomScale="124" workbookViewId="0">
      <selection activeCell="F1" sqref="F1"/>
    </sheetView>
  </sheetViews>
  <sheetFormatPr baseColWidth="8" defaultRowHeight="14.5"/>
  <cols>
    <col width="10" customWidth="1" min="1" max="1"/>
    <col width="16" customWidth="1" min="2" max="2"/>
    <col width="26" customWidth="1" min="3" max="3"/>
    <col width="12" customWidth="1" min="4" max="5"/>
  </cols>
  <sheetData>
    <row r="1" ht="30" customHeight="1">
      <c r="A1" s="1" t="inlineStr">
        <is>
          <t>Include</t>
        </is>
      </c>
      <c r="B1" s="1" t="inlineStr">
        <is>
          <t>dataset_name</t>
        </is>
      </c>
      <c r="C1" s="1" t="inlineStr">
        <is>
          <t>number of healthy samples</t>
        </is>
      </c>
      <c r="D1" s="1" t="inlineStr">
        <is>
          <t>fm_ratio</t>
        </is>
      </c>
      <c r="E1" s="1" t="inlineStr">
        <is>
          <t>size_est</t>
        </is>
      </c>
      <c r="F1" s="8" t="inlineStr">
        <is>
          <t>quick_facts</t>
        </is>
      </c>
    </row>
    <row r="2">
      <c r="A2" s="2" t="inlineStr">
        <is>
          <t>Yes</t>
        </is>
      </c>
      <c r="B2" s="2" t="inlineStr">
        <is>
          <t>S025</t>
        </is>
      </c>
      <c r="C2" s="2" t="n">
        <v>100</v>
      </c>
      <c r="D2" s="9" t="inlineStr">
        <is>
          <t>50:50</t>
        </is>
      </c>
      <c r="E2" s="3" t="n">
        <v>5.42</v>
      </c>
    </row>
    <row r="3">
      <c r="A3" s="2" t="n"/>
      <c r="B3" s="2" t="inlineStr">
        <is>
          <t>J002</t>
        </is>
      </c>
      <c r="C3" s="2" t="n">
        <v>458</v>
      </c>
      <c r="D3" s="2" t="inlineStr">
        <is>
          <t>112:346</t>
        </is>
      </c>
      <c r="E3" s="3" t="n">
        <v>499.66</v>
      </c>
      <c r="F3" t="inlineStr">
        <is>
          <t>oral_wash samples</t>
        </is>
      </c>
    </row>
    <row r="4">
      <c r="A4" s="2" t="n"/>
      <c r="B4" s="2" t="inlineStr">
        <is>
          <t>J003</t>
        </is>
      </c>
      <c r="C4" s="2" t="n">
        <v>445</v>
      </c>
      <c r="D4" s="2" t="inlineStr">
        <is>
          <t>208:237</t>
        </is>
      </c>
      <c r="E4" s="3" t="n">
        <v>122.4</v>
      </c>
      <c r="F4" t="inlineStr">
        <is>
          <t>oral_wash samples</t>
        </is>
      </c>
    </row>
    <row r="5">
      <c r="A5" s="2" t="inlineStr">
        <is>
          <t>Yes</t>
        </is>
      </c>
      <c r="B5" s="2" t="inlineStr">
        <is>
          <t>D001</t>
        </is>
      </c>
      <c r="C5" s="2" t="n">
        <v>64</v>
      </c>
      <c r="D5" s="2" t="inlineStr">
        <is>
          <t>36:28</t>
        </is>
      </c>
      <c r="E5" s="3" t="n"/>
    </row>
    <row r="6">
      <c r="A6" s="2" t="inlineStr">
        <is>
          <t>Yes</t>
        </is>
      </c>
      <c r="B6" s="2" t="inlineStr">
        <is>
          <t>S014</t>
        </is>
      </c>
      <c r="C6" s="2" t="n">
        <v>234</v>
      </c>
      <c r="D6" s="7" t="inlineStr">
        <is>
          <t>105:129</t>
        </is>
      </c>
      <c r="E6" s="3" t="n"/>
      <c r="F6" t="inlineStr">
        <is>
          <t>stimulated mouthwash, controls were matched by non-related disease too (SEE NOTES)</t>
        </is>
      </c>
    </row>
    <row r="7">
      <c r="A7" s="5" t="n"/>
      <c r="B7" s="5" t="n"/>
      <c r="C7" s="5">
        <f>SUM(C2,C3,C4,C5,C6)</f>
        <v/>
      </c>
      <c r="D7">
        <f t="array" ref="D7">SUMPRODUCT(--LEFT(D2:D6,FIND(":",D2:D6)-1))&amp;":"&amp;SUMPRODUCT(--MID(D2:D6,FIND(":",D2:D6)+1,99))</f>
        <v/>
      </c>
      <c r="E7" s="6">
        <f>SUM(E2:E6)</f>
        <v/>
      </c>
    </row>
  </sheetData>
  <dataValidations count="1">
    <dataValidation sqref="A2:A7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topLeftCell="A4" workbookViewId="0">
      <selection activeCell="A11" sqref="A11:XFD11"/>
    </sheetView>
  </sheetViews>
  <sheetFormatPr baseColWidth="8" defaultRowHeight="14.5"/>
  <cols>
    <col width="36" customWidth="1" min="1" max="1"/>
    <col width="110" customWidth="1" min="2" max="2"/>
  </cols>
  <sheetData>
    <row r="1" ht="20" customHeight="1">
      <c r="A1" s="4" t="inlineStr">
        <is>
          <t>Field</t>
        </is>
      </c>
      <c r="B1" s="4" t="inlineStr">
        <is>
          <t>Definition / method</t>
        </is>
      </c>
    </row>
    <row r="2">
      <c r="A2" t="inlineStr">
        <is>
          <t>Row order</t>
        </is>
      </c>
      <c r="B2" t="inlineStr">
        <is>
          <t>Row2=SraRunTable_1, Row3=SraRunTable_2, Row4=SraRunTable_4, Row5=SraRunTable_B2, Row6=SraRunTable_B1. SraRunTable_G1 ignored as requested.</t>
        </is>
      </c>
    </row>
    <row r="3">
      <c r="A3" t="inlineStr">
        <is>
          <t>Include</t>
        </is>
      </c>
      <c r="B3" t="inlineStr">
        <is>
          <t>Left blank for final Yes/No decision (dropdown available).</t>
        </is>
      </c>
    </row>
    <row r="4">
      <c r="A4" t="inlineStr">
        <is>
          <t>dataset_name</t>
        </is>
      </c>
      <c r="B4" t="inlineStr">
        <is>
          <t>Left blank for you to fill abbreviations.</t>
        </is>
      </c>
    </row>
    <row r="5">
      <c r="A5" t="inlineStr">
        <is>
          <t>number of healthy samples</t>
        </is>
      </c>
      <c r="B5" t="inlineStr">
        <is>
          <t>Count of unique healthy subjects after collapsing replicates (one sequencing run kept per subject).</t>
        </is>
      </c>
    </row>
    <row r="6">
      <c r="A6" t="inlineStr">
        <is>
          <t>fm_ratio</t>
        </is>
      </c>
      <c r="B6" t="inlineStr">
        <is>
          <t>Female:Male among those unique healthy subjects.</t>
        </is>
      </c>
    </row>
    <row r="7">
      <c r="A7" t="inlineStr">
        <is>
          <t>size_est</t>
        </is>
      </c>
      <c r="B7" t="inlineStr">
        <is>
          <t>GB; sum of NCBI Run Table 'Bytes' for the kept runs only (fastq present in DATASTORE filetype).</t>
        </is>
      </c>
    </row>
    <row r="8"/>
    <row r="9">
      <c r="A9" s="4" t="inlineStr">
        <is>
          <t>Dataset detail</t>
        </is>
      </c>
      <c r="B9" s="4" t="n"/>
    </row>
    <row r="10">
      <c r="A10" t="inlineStr">
        <is>
          <t>SraRunTable_1 / PRJEB60621</t>
        </is>
      </c>
      <c r="B10" t="inlineStr">
        <is>
          <t>Healthy saliva WGS (host_body_product=saliva). Patient ID = Sample_name (TOM_###). 990 runs / 100 subjects; kept run with max Bases. Perfect 50:50. size_est≈5.42 GB (selected); all replicates would be ~32 GB.</t>
        </is>
      </c>
    </row>
    <row r="11">
      <c r="A11" t="inlineStr">
        <is>
          <t>SraRunTable_B2 / PRJNA1248596</t>
        </is>
      </c>
      <c r="B11" t="inlineStr">
        <is>
          <t>All 458 marked subject_is_affected=No (HNSCC case-control controls); stimulated oral washm body_site=inner oral cavity / buccal cells. 112:346 (far from 1:1). size_est≈499.66 GB. dbGaP phs004018 — check access before assigning to students.</t>
        </is>
      </c>
    </row>
    <row r="12">
      <c r="A12" t="inlineStr">
        <is>
          <t>SraRunTable_B1 / PRJNA1242418</t>
        </is>
      </c>
      <c r="B12" t="inlineStr">
        <is>
          <t>phs003994 — Oral Mycobiome and Risk of Pancreatic Cancer. All 445 are subject_is_affected=No (controls), buccal, 1 run/subject. 208:237. size_est≈122.4 GB. No sequencing-file overlap with B2 (0 shared BioSample/Run/Bytes/Bases); 1 shared patient ID D-027488-7 with different runs.</t>
        </is>
      </c>
    </row>
    <row r="13">
      <c r="A13" t="inlineStr">
        <is>
          <t>D001 / PRJNA1057503</t>
        </is>
      </c>
      <c r="B13" t="inlineStr">
        <is>
          <t>Multi-body-site cohort. Healthy saliva defined as Sample Name ending in _Saliva AND Host_disease missing (no disease annotation). 64 subjects, no saliva replicates. 36:28. size_est≈114.88 GB. Caution: deep NovaSeq libraries (~1.8 GB/sample compressed).</t>
        </is>
      </c>
    </row>
    <row r="14">
      <c r="A14" t="inlineStr">
        <is>
          <t>S014 / PRJNA832909</t>
        </is>
      </c>
      <c r="B14" t="inlineStr">
        <is>
          <t>234 samples, The controls were selected from noncancer JP subjects by matching for possible confounders and risk factors4 such as age, sex, body mass index, lifestyle-related factors, dietary habits, dental/oral problems, comorbidities, bowel diseases, Bristol stool scale, and medications</t>
        </is>
      </c>
    </row>
    <row r="15"/>
    <row r="16">
      <c r="A16" t="inlineStr">
        <is>
          <t>Excluded</t>
        </is>
      </c>
      <c r="B16" t="inlineStr">
        <is>
          <t>SraRunTable_G1.xlsx per instructions.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2026-07-16T10:48:12Z</dcterms:created>
  <dcterms:modified xsi:type="dcterms:W3CDTF">2026-07-17T11:00:04Z</dcterms:modified>
  <cp:lastModifiedBy>Davit Hakobyan</cp:lastModifiedBy>
</cp:coreProperties>
</file>